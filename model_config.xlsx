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parks" sheetId="1" state="visible" r:id="rId1"/>
    <sheet xmlns:r="http://schemas.openxmlformats.org/officeDocument/2006/relationships" name="ModelWeights" sheetId="2" state="visible" r:id="rId2"/>
    <sheet xmlns:r="http://schemas.openxmlformats.org/officeDocument/2006/relationships" name="Projection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800080"/>
    </font>
    <font>
      <color rgb="000000FF"/>
    </font>
    <font>
      <b val="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team_id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venue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altitude_ft</t>
        </is>
      </c>
      <c r="H1" s="1" t="inlineStr">
        <is>
          <t>park_factor</t>
        </is>
      </c>
      <c r="I1" s="1" t="inlineStr">
        <is>
          <t>roof_type</t>
        </is>
      </c>
      <c r="J1" s="1" t="inlineStr">
        <is>
          <t>logo_path</t>
        </is>
      </c>
    </row>
    <row r="2">
      <c r="A2" t="n">
        <v>109</v>
      </c>
      <c r="B2" t="inlineStr">
        <is>
          <t>Arizona Diamondbacks</t>
        </is>
      </c>
      <c r="C2" t="inlineStr">
        <is>
          <t>ARI</t>
        </is>
      </c>
      <c r="D2" t="inlineStr">
        <is>
          <t>Chase Field</t>
        </is>
      </c>
      <c r="E2" t="n">
        <v>33.4453</v>
      </c>
      <c r="F2" t="n">
        <v>-112.0667</v>
      </c>
      <c r="G2" t="n">
        <v>1086</v>
      </c>
      <c r="H2" t="n">
        <v>1.04</v>
      </c>
      <c r="I2" t="inlineStr">
        <is>
          <t>Retractable/Indoor</t>
        </is>
      </c>
      <c r="J2" t="inlineStr">
        <is>
          <t>static/logos/ARI.svg</t>
        </is>
      </c>
    </row>
    <row r="3">
      <c r="A3" t="n">
        <v>144</v>
      </c>
      <c r="B3" t="inlineStr">
        <is>
          <t>Atlanta Braves</t>
        </is>
      </c>
      <c r="C3" t="inlineStr">
        <is>
          <t>ATL</t>
        </is>
      </c>
      <c r="D3" t="inlineStr">
        <is>
          <t>Truist Park</t>
        </is>
      </c>
      <c r="E3" t="n">
        <v>33.8907</v>
      </c>
      <c r="F3" t="n">
        <v>-84.46769999999999</v>
      </c>
      <c r="G3" t="n">
        <v>1050</v>
      </c>
      <c r="H3" t="n">
        <v>1.01</v>
      </c>
      <c r="I3" t="inlineStr">
        <is>
          <t>Open Air</t>
        </is>
      </c>
      <c r="J3" t="inlineStr">
        <is>
          <t>static/logos/ATL.svg</t>
        </is>
      </c>
    </row>
    <row r="4">
      <c r="A4" t="n">
        <v>110</v>
      </c>
      <c r="B4" t="inlineStr">
        <is>
          <t>Baltimore Orioles</t>
        </is>
      </c>
      <c r="C4" t="inlineStr">
        <is>
          <t>BAL</t>
        </is>
      </c>
      <c r="D4" t="inlineStr">
        <is>
          <t>Oriole Park at Camden Yards</t>
        </is>
      </c>
      <c r="E4" t="n">
        <v>39.284</v>
      </c>
      <c r="F4" t="n">
        <v>-76.6217</v>
      </c>
      <c r="G4" t="n">
        <v>20</v>
      </c>
      <c r="H4" t="n">
        <v>1.01</v>
      </c>
      <c r="I4" t="inlineStr">
        <is>
          <t>Open Air</t>
        </is>
      </c>
      <c r="J4" t="inlineStr">
        <is>
          <t>static/logos/BAL.svg</t>
        </is>
      </c>
    </row>
    <row r="5">
      <c r="A5" t="n">
        <v>111</v>
      </c>
      <c r="B5" t="inlineStr">
        <is>
          <t>Boston Red Sox</t>
        </is>
      </c>
      <c r="C5" t="inlineStr">
        <is>
          <t>BOS</t>
        </is>
      </c>
      <c r="D5" t="inlineStr">
        <is>
          <t>Fenway Park</t>
        </is>
      </c>
      <c r="E5" t="n">
        <v>42.3467</v>
      </c>
      <c r="F5" t="n">
        <v>-71.0972</v>
      </c>
      <c r="G5" t="n">
        <v>20</v>
      </c>
      <c r="H5" t="n">
        <v>1.03</v>
      </c>
      <c r="I5" t="inlineStr">
        <is>
          <t>Open Air</t>
        </is>
      </c>
      <c r="J5" t="inlineStr">
        <is>
          <t>static/logos/BOS.svg</t>
        </is>
      </c>
    </row>
    <row r="6">
      <c r="A6" t="n">
        <v>112</v>
      </c>
      <c r="B6" t="inlineStr">
        <is>
          <t>Chicago Cubs</t>
        </is>
      </c>
      <c r="C6" t="inlineStr">
        <is>
          <t>CHC</t>
        </is>
      </c>
      <c r="D6" t="inlineStr">
        <is>
          <t>Wrigley Field</t>
        </is>
      </c>
      <c r="E6" t="n">
        <v>41.9484</v>
      </c>
      <c r="F6" t="n">
        <v>-87.6553</v>
      </c>
      <c r="G6" t="n">
        <v>600</v>
      </c>
      <c r="H6" t="n">
        <v>1.02</v>
      </c>
      <c r="I6" t="inlineStr">
        <is>
          <t>Open Air</t>
        </is>
      </c>
      <c r="J6" t="inlineStr">
        <is>
          <t>static/logos/CHC.svg</t>
        </is>
      </c>
    </row>
    <row r="7">
      <c r="A7" t="n">
        <v>145</v>
      </c>
      <c r="B7" t="inlineStr">
        <is>
          <t>Chicago White Sox</t>
        </is>
      </c>
      <c r="C7" t="inlineStr">
        <is>
          <t>CWS</t>
        </is>
      </c>
      <c r="D7" t="inlineStr">
        <is>
          <t>Guaranteed Rate Field</t>
        </is>
      </c>
      <c r="E7" t="n">
        <v>41.83</v>
      </c>
      <c r="F7" t="n">
        <v>-87.63379999999999</v>
      </c>
      <c r="G7" t="n">
        <v>600</v>
      </c>
      <c r="H7" t="n">
        <v>1.02</v>
      </c>
      <c r="I7" t="inlineStr">
        <is>
          <t>Open Air</t>
        </is>
      </c>
      <c r="J7" t="inlineStr">
        <is>
          <t>static/logos/CWS.svg</t>
        </is>
      </c>
    </row>
    <row r="8">
      <c r="A8" t="n">
        <v>113</v>
      </c>
      <c r="B8" t="inlineStr">
        <is>
          <t>Cincinnati Reds</t>
        </is>
      </c>
      <c r="C8" t="inlineStr">
        <is>
          <t>CIN</t>
        </is>
      </c>
      <c r="D8" t="inlineStr">
        <is>
          <t>Great American Ball Park</t>
        </is>
      </c>
      <c r="E8" t="n">
        <v>39.0979</v>
      </c>
      <c r="F8" t="n">
        <v>-84.5082</v>
      </c>
      <c r="G8" t="n">
        <v>490</v>
      </c>
      <c r="H8" t="n">
        <v>1.07</v>
      </c>
      <c r="I8" t="inlineStr">
        <is>
          <t>Open Air</t>
        </is>
      </c>
      <c r="J8" t="inlineStr">
        <is>
          <t>static/logos/CIN.svg</t>
        </is>
      </c>
    </row>
    <row r="9">
      <c r="A9" t="n">
        <v>114</v>
      </c>
      <c r="B9" t="inlineStr">
        <is>
          <t>Cleveland Guardians</t>
        </is>
      </c>
      <c r="C9" t="inlineStr">
        <is>
          <t>CLE</t>
        </is>
      </c>
      <c r="D9" t="inlineStr">
        <is>
          <t>Progressive Field</t>
        </is>
      </c>
      <c r="E9" t="n">
        <v>41.4962</v>
      </c>
      <c r="F9" t="n">
        <v>-81.68519999999999</v>
      </c>
      <c r="G9" t="n">
        <v>650</v>
      </c>
      <c r="H9" t="n">
        <v>1</v>
      </c>
      <c r="I9" t="inlineStr">
        <is>
          <t>Open Air</t>
        </is>
      </c>
      <c r="J9" t="inlineStr">
        <is>
          <t>static/logos/CLE.svg</t>
        </is>
      </c>
    </row>
    <row r="10">
      <c r="A10" t="n">
        <v>115</v>
      </c>
      <c r="B10" t="inlineStr">
        <is>
          <t>Colorado Rockies</t>
        </is>
      </c>
      <c r="C10" t="inlineStr">
        <is>
          <t>COL</t>
        </is>
      </c>
      <c r="D10" t="inlineStr">
        <is>
          <t>Coors Field</t>
        </is>
      </c>
      <c r="E10" t="n">
        <v>39.7559</v>
      </c>
      <c r="F10" t="n">
        <v>-104.9942</v>
      </c>
      <c r="G10" t="n">
        <v>5200</v>
      </c>
      <c r="H10" t="n">
        <v>1.26</v>
      </c>
      <c r="I10" t="inlineStr">
        <is>
          <t>Open Air</t>
        </is>
      </c>
      <c r="J10" t="inlineStr">
        <is>
          <t>static/logos/COL.svg</t>
        </is>
      </c>
    </row>
    <row r="11">
      <c r="A11" t="n">
        <v>116</v>
      </c>
      <c r="B11" t="inlineStr">
        <is>
          <t>Detroit Tigers</t>
        </is>
      </c>
      <c r="C11" t="inlineStr">
        <is>
          <t>DET</t>
        </is>
      </c>
      <c r="D11" t="inlineStr">
        <is>
          <t>Comerica Park</t>
        </is>
      </c>
      <c r="E11" t="n">
        <v>42.339</v>
      </c>
      <c r="F11" t="n">
        <v>-83.0485</v>
      </c>
      <c r="G11" t="n">
        <v>585</v>
      </c>
      <c r="H11" t="n">
        <v>0.99</v>
      </c>
      <c r="I11" t="inlineStr">
        <is>
          <t>Open Air</t>
        </is>
      </c>
      <c r="J11" t="inlineStr">
        <is>
          <t>static/logos/DET.svg</t>
        </is>
      </c>
    </row>
    <row r="12">
      <c r="A12" t="n">
        <v>117</v>
      </c>
      <c r="B12" t="inlineStr">
        <is>
          <t>Houston Astros</t>
        </is>
      </c>
      <c r="C12" t="inlineStr">
        <is>
          <t>HOU</t>
        </is>
      </c>
      <c r="D12" t="inlineStr">
        <is>
          <t>Daikin Park</t>
        </is>
      </c>
      <c r="E12" t="n">
        <v>29.7572</v>
      </c>
      <c r="F12" t="n">
        <v>-95.35550000000001</v>
      </c>
      <c r="G12" t="n">
        <v>80</v>
      </c>
      <c r="H12" t="n">
        <v>1.01</v>
      </c>
      <c r="I12" t="inlineStr">
        <is>
          <t>Retractable/Indoor</t>
        </is>
      </c>
      <c r="J12" t="inlineStr">
        <is>
          <t>static/logos/HOU.svg</t>
        </is>
      </c>
    </row>
    <row r="13">
      <c r="A13" t="n">
        <v>118</v>
      </c>
      <c r="B13" t="inlineStr">
        <is>
          <t>Kansas City Royals</t>
        </is>
      </c>
      <c r="C13" t="inlineStr">
        <is>
          <t>KC</t>
        </is>
      </c>
      <c r="D13" t="inlineStr">
        <is>
          <t>Kauffman Stadium</t>
        </is>
      </c>
      <c r="E13" t="n">
        <v>39.0517</v>
      </c>
      <c r="F13" t="n">
        <v>-94.4803</v>
      </c>
      <c r="G13" t="n">
        <v>900</v>
      </c>
      <c r="H13" t="n">
        <v>1</v>
      </c>
      <c r="I13" t="inlineStr">
        <is>
          <t>Open Air</t>
        </is>
      </c>
      <c r="J13" t="inlineStr">
        <is>
          <t>static/logos/KC.svg</t>
        </is>
      </c>
    </row>
    <row r="14">
      <c r="A14" t="n">
        <v>108</v>
      </c>
      <c r="B14" t="inlineStr">
        <is>
          <t>Los Angeles Angels</t>
        </is>
      </c>
      <c r="C14" t="inlineStr">
        <is>
          <t>LAA</t>
        </is>
      </c>
      <c r="D14" t="inlineStr">
        <is>
          <t>Angel Stadium</t>
        </is>
      </c>
      <c r="E14" t="n">
        <v>33.8003</v>
      </c>
      <c r="F14" t="n">
        <v>-117.8827</v>
      </c>
      <c r="G14" t="n">
        <v>160</v>
      </c>
      <c r="H14" t="n">
        <v>0.99</v>
      </c>
      <c r="I14" t="inlineStr">
        <is>
          <t>Open Air</t>
        </is>
      </c>
      <c r="J14" t="inlineStr">
        <is>
          <t>static/logos/LAA.svg</t>
        </is>
      </c>
    </row>
    <row r="15">
      <c r="A15" t="n">
        <v>119</v>
      </c>
      <c r="B15" t="inlineStr">
        <is>
          <t>Los Angeles Dodgers</t>
        </is>
      </c>
      <c r="C15" t="inlineStr">
        <is>
          <t>LAD</t>
        </is>
      </c>
      <c r="D15" t="inlineStr">
        <is>
          <t>Dodger Stadium</t>
        </is>
      </c>
      <c r="E15" t="n">
        <v>34.0739</v>
      </c>
      <c r="F15" t="n">
        <v>-118.24</v>
      </c>
      <c r="G15" t="n">
        <v>340</v>
      </c>
      <c r="H15" t="n">
        <v>0.96</v>
      </c>
      <c r="I15" t="inlineStr">
        <is>
          <t>Open Air</t>
        </is>
      </c>
      <c r="J15" t="inlineStr">
        <is>
          <t>static/logos/LAD.svg</t>
        </is>
      </c>
    </row>
    <row r="16">
      <c r="A16" t="n">
        <v>146</v>
      </c>
      <c r="B16" t="inlineStr">
        <is>
          <t>Miami Marlins</t>
        </is>
      </c>
      <c r="C16" t="inlineStr">
        <is>
          <t>MIA</t>
        </is>
      </c>
      <c r="D16" t="inlineStr">
        <is>
          <t>loanDepot park</t>
        </is>
      </c>
      <c r="E16" t="n">
        <v>25.7781</v>
      </c>
      <c r="F16" t="n">
        <v>-80.2197</v>
      </c>
      <c r="G16" t="n">
        <v>10</v>
      </c>
      <c r="H16" t="n">
        <v>0.95</v>
      </c>
      <c r="I16" t="inlineStr">
        <is>
          <t>Retractable/Indoor</t>
        </is>
      </c>
      <c r="J16" t="inlineStr">
        <is>
          <t>static/logos/MIA.svg</t>
        </is>
      </c>
    </row>
    <row r="17">
      <c r="A17" t="n">
        <v>158</v>
      </c>
      <c r="B17" t="inlineStr">
        <is>
          <t>Milwaukee Brewers</t>
        </is>
      </c>
      <c r="C17" t="inlineStr">
        <is>
          <t>MIL</t>
        </is>
      </c>
      <c r="D17" t="inlineStr">
        <is>
          <t>American Family Field</t>
        </is>
      </c>
      <c r="E17" t="n">
        <v>43.028</v>
      </c>
      <c r="F17" t="n">
        <v>-87.9712</v>
      </c>
      <c r="G17" t="n">
        <v>635</v>
      </c>
      <c r="H17" t="n">
        <v>1</v>
      </c>
      <c r="I17" t="inlineStr">
        <is>
          <t>Retractable/Indoor</t>
        </is>
      </c>
      <c r="J17" t="inlineStr">
        <is>
          <t>static/logos/MIL.svg</t>
        </is>
      </c>
    </row>
    <row r="18">
      <c r="A18" t="n">
        <v>142</v>
      </c>
      <c r="B18" t="inlineStr">
        <is>
          <t>Minnesota Twins</t>
        </is>
      </c>
      <c r="C18" t="inlineStr">
        <is>
          <t>MIN</t>
        </is>
      </c>
      <c r="D18" t="inlineStr">
        <is>
          <t>Target Field</t>
        </is>
      </c>
      <c r="E18" t="n">
        <v>44.9817</v>
      </c>
      <c r="F18" t="n">
        <v>-93.27760000000001</v>
      </c>
      <c r="G18" t="n">
        <v>815</v>
      </c>
      <c r="H18" t="n">
        <v>1</v>
      </c>
      <c r="I18" t="inlineStr">
        <is>
          <t>Open Air</t>
        </is>
      </c>
      <c r="J18" t="inlineStr">
        <is>
          <t>static/logos/MIN.svg</t>
        </is>
      </c>
    </row>
    <row r="19">
      <c r="A19" t="n">
        <v>121</v>
      </c>
      <c r="B19" t="inlineStr">
        <is>
          <t>New York Mets</t>
        </is>
      </c>
      <c r="C19" t="inlineStr">
        <is>
          <t>NYM</t>
        </is>
      </c>
      <c r="D19" t="inlineStr">
        <is>
          <t>Citi Field</t>
        </is>
      </c>
      <c r="E19" t="n">
        <v>40.7571</v>
      </c>
      <c r="F19" t="n">
        <v>-73.8458</v>
      </c>
      <c r="G19" t="n">
        <v>15</v>
      </c>
      <c r="H19" t="n">
        <v>0.96</v>
      </c>
      <c r="I19" t="inlineStr">
        <is>
          <t>Open Air</t>
        </is>
      </c>
      <c r="J19" t="inlineStr">
        <is>
          <t>static/logos/NYM.svg</t>
        </is>
      </c>
    </row>
    <row r="20">
      <c r="A20" t="n">
        <v>147</v>
      </c>
      <c r="B20" t="inlineStr">
        <is>
          <t>New York Yankees</t>
        </is>
      </c>
      <c r="C20" t="inlineStr">
        <is>
          <t>NYY</t>
        </is>
      </c>
      <c r="D20" t="inlineStr">
        <is>
          <t>Yankee Stadium</t>
        </is>
      </c>
      <c r="E20" t="n">
        <v>40.8296</v>
      </c>
      <c r="F20" t="n">
        <v>-73.92619999999999</v>
      </c>
      <c r="G20" t="n">
        <v>55</v>
      </c>
      <c r="H20" t="n">
        <v>1.03</v>
      </c>
      <c r="I20" t="inlineStr">
        <is>
          <t>Open Air</t>
        </is>
      </c>
      <c r="J20" t="inlineStr">
        <is>
          <t>static/logos/NYY.svg</t>
        </is>
      </c>
    </row>
    <row r="21">
      <c r="A21" t="n">
        <v>133</v>
      </c>
      <c r="B21" t="inlineStr">
        <is>
          <t>Athletics</t>
        </is>
      </c>
      <c r="C21" t="inlineStr">
        <is>
          <t>ATH</t>
        </is>
      </c>
      <c r="D21" t="inlineStr">
        <is>
          <t>Sutter Health Park</t>
        </is>
      </c>
      <c r="E21" t="n">
        <v>38.5802</v>
      </c>
      <c r="F21" t="n">
        <v>-121.5134</v>
      </c>
      <c r="G21" t="n">
        <v>30</v>
      </c>
      <c r="H21" t="n">
        <v>1</v>
      </c>
      <c r="I21" t="inlineStr">
        <is>
          <t>Retractable/Indoor</t>
        </is>
      </c>
      <c r="J21" t="inlineStr">
        <is>
          <t>static/logos/ATH.svg</t>
        </is>
      </c>
    </row>
    <row r="22">
      <c r="A22" t="n">
        <v>143</v>
      </c>
      <c r="B22" t="inlineStr">
        <is>
          <t>Philadelphia Phillies</t>
        </is>
      </c>
      <c r="C22" t="inlineStr">
        <is>
          <t>PHI</t>
        </is>
      </c>
      <c r="D22" t="inlineStr">
        <is>
          <t>Citizens Bank Park</t>
        </is>
      </c>
      <c r="E22" t="n">
        <v>39.9061</v>
      </c>
      <c r="F22" t="n">
        <v>-75.1665</v>
      </c>
      <c r="G22" t="n">
        <v>20</v>
      </c>
      <c r="H22" t="n">
        <v>1.03</v>
      </c>
      <c r="I22" t="inlineStr">
        <is>
          <t>Open Air</t>
        </is>
      </c>
      <c r="J22" t="inlineStr">
        <is>
          <t>static/logos/PHI.svg</t>
        </is>
      </c>
    </row>
    <row r="23">
      <c r="A23" t="n">
        <v>134</v>
      </c>
      <c r="B23" t="inlineStr">
        <is>
          <t>Pittsburgh Pirates</t>
        </is>
      </c>
      <c r="C23" t="inlineStr">
        <is>
          <t>PIT</t>
        </is>
      </c>
      <c r="D23" t="inlineStr">
        <is>
          <t>PNC Park</t>
        </is>
      </c>
      <c r="E23" t="n">
        <v>40.4469</v>
      </c>
      <c r="F23" t="n">
        <v>-80.0057</v>
      </c>
      <c r="G23" t="n">
        <v>725</v>
      </c>
      <c r="H23" t="n">
        <v>0.98</v>
      </c>
      <c r="I23" t="inlineStr">
        <is>
          <t>Open Air</t>
        </is>
      </c>
      <c r="J23" t="inlineStr">
        <is>
          <t>static/logos/PIT.svg</t>
        </is>
      </c>
    </row>
    <row r="24">
      <c r="A24" t="n">
        <v>135</v>
      </c>
      <c r="B24" t="inlineStr">
        <is>
          <t>San Diego Padres</t>
        </is>
      </c>
      <c r="C24" t="inlineStr">
        <is>
          <t>SD</t>
        </is>
      </c>
      <c r="D24" t="inlineStr">
        <is>
          <t>Petco Park</t>
        </is>
      </c>
      <c r="E24" t="n">
        <v>32.7073</v>
      </c>
      <c r="F24" t="n">
        <v>-117.1573</v>
      </c>
      <c r="G24" t="n">
        <v>60</v>
      </c>
      <c r="H24" t="n">
        <v>0.9399999999999999</v>
      </c>
      <c r="I24" t="inlineStr">
        <is>
          <t>Open Air</t>
        </is>
      </c>
      <c r="J24" t="inlineStr">
        <is>
          <t>static/logos/SD.svg</t>
        </is>
      </c>
    </row>
    <row r="25">
      <c r="A25" t="n">
        <v>137</v>
      </c>
      <c r="B25" t="inlineStr">
        <is>
          <t>San Francisco Giants</t>
        </is>
      </c>
      <c r="C25" t="inlineStr">
        <is>
          <t>SF</t>
        </is>
      </c>
      <c r="D25" t="inlineStr">
        <is>
          <t>Oracle Park</t>
        </is>
      </c>
      <c r="E25" t="n">
        <v>37.7786</v>
      </c>
      <c r="F25" t="n">
        <v>-122.3893</v>
      </c>
      <c r="G25" t="n">
        <v>5</v>
      </c>
      <c r="H25" t="n">
        <v>0.92</v>
      </c>
      <c r="I25" t="inlineStr">
        <is>
          <t>Open Air</t>
        </is>
      </c>
      <c r="J25" t="inlineStr">
        <is>
          <t>static/logos/SF.svg</t>
        </is>
      </c>
    </row>
    <row r="26">
      <c r="A26" t="n">
        <v>136</v>
      </c>
      <c r="B26" t="inlineStr">
        <is>
          <t>Seattle Mariners</t>
        </is>
      </c>
      <c r="C26" t="inlineStr">
        <is>
          <t>SEA</t>
        </is>
      </c>
      <c r="D26" t="inlineStr">
        <is>
          <t>T-Mobile Park</t>
        </is>
      </c>
      <c r="E26" t="n">
        <v>47.5914</v>
      </c>
      <c r="F26" t="n">
        <v>-122.3325</v>
      </c>
      <c r="G26" t="n">
        <v>20</v>
      </c>
      <c r="H26" t="n">
        <v>0.95</v>
      </c>
      <c r="I26" t="inlineStr">
        <is>
          <t>Retractable/Indoor</t>
        </is>
      </c>
      <c r="J26" t="inlineStr">
        <is>
          <t>static/logos/SEA.svg</t>
        </is>
      </c>
    </row>
    <row r="27">
      <c r="A27" t="n">
        <v>138</v>
      </c>
      <c r="B27" t="inlineStr">
        <is>
          <t>St. Louis Cardinals</t>
        </is>
      </c>
      <c r="C27" t="inlineStr">
        <is>
          <t>STL</t>
        </is>
      </c>
      <c r="D27" t="inlineStr">
        <is>
          <t>Busch Stadium</t>
        </is>
      </c>
      <c r="E27" t="n">
        <v>38.6226</v>
      </c>
      <c r="F27" t="n">
        <v>-90.19280000000001</v>
      </c>
      <c r="G27" t="n">
        <v>465</v>
      </c>
      <c r="H27" t="n">
        <v>0.97</v>
      </c>
      <c r="I27" t="inlineStr">
        <is>
          <t>Open Air</t>
        </is>
      </c>
      <c r="J27" t="inlineStr">
        <is>
          <t>static/logos/STL.svg</t>
        </is>
      </c>
    </row>
    <row r="28">
      <c r="A28" t="n">
        <v>139</v>
      </c>
      <c r="B28" t="inlineStr">
        <is>
          <t>Tampa Bay Rays</t>
        </is>
      </c>
      <c r="C28" t="inlineStr">
        <is>
          <t>TB</t>
        </is>
      </c>
      <c r="D28" t="inlineStr">
        <is>
          <t>George M. Steinbrenner Field</t>
        </is>
      </c>
      <c r="E28" t="n">
        <v>27.98</v>
      </c>
      <c r="F28" t="n">
        <v>-82.50700000000001</v>
      </c>
      <c r="G28" t="n">
        <v>45</v>
      </c>
      <c r="H28" t="n">
        <v>1</v>
      </c>
      <c r="I28" t="inlineStr">
        <is>
          <t>Retractable/Indoor</t>
        </is>
      </c>
      <c r="J28" t="inlineStr">
        <is>
          <t>static/logos/TB.svg</t>
        </is>
      </c>
    </row>
    <row r="29">
      <c r="A29" t="n">
        <v>140</v>
      </c>
      <c r="B29" t="inlineStr">
        <is>
          <t>Texas Rangers</t>
        </is>
      </c>
      <c r="C29" t="inlineStr">
        <is>
          <t>TEX</t>
        </is>
      </c>
      <c r="D29" t="inlineStr">
        <is>
          <t>Globe Life Field</t>
        </is>
      </c>
      <c r="E29" t="n">
        <v>32.7473</v>
      </c>
      <c r="F29" t="n">
        <v>-97.084</v>
      </c>
      <c r="G29" t="n">
        <v>550</v>
      </c>
      <c r="H29" t="n">
        <v>1</v>
      </c>
      <c r="I29" t="inlineStr">
        <is>
          <t>Retractable/Indoor</t>
        </is>
      </c>
      <c r="J29" t="inlineStr">
        <is>
          <t>static/logos/TEX.svg</t>
        </is>
      </c>
    </row>
    <row r="30">
      <c r="A30" t="n">
        <v>141</v>
      </c>
      <c r="B30" t="inlineStr">
        <is>
          <t>Toronto Blue Jays</t>
        </is>
      </c>
      <c r="C30" t="inlineStr">
        <is>
          <t>TOR</t>
        </is>
      </c>
      <c r="D30" t="inlineStr">
        <is>
          <t>Rogers Centre</t>
        </is>
      </c>
      <c r="E30" t="n">
        <v>43.6414</v>
      </c>
      <c r="F30" t="n">
        <v>-79.38939999999999</v>
      </c>
      <c r="G30" t="n">
        <v>250</v>
      </c>
      <c r="H30" t="n">
        <v>1</v>
      </c>
      <c r="I30" t="inlineStr">
        <is>
          <t>Retractable/Indoor</t>
        </is>
      </c>
      <c r="J30" t="inlineStr">
        <is>
          <t>static/logos/TOR.svg</t>
        </is>
      </c>
    </row>
    <row r="31">
      <c r="A31" t="n">
        <v>120</v>
      </c>
      <c r="B31" t="inlineStr">
        <is>
          <t>Washington Nationals</t>
        </is>
      </c>
      <c r="C31" t="inlineStr">
        <is>
          <t>WSH</t>
        </is>
      </c>
      <c r="D31" t="inlineStr">
        <is>
          <t>Nationals Park</t>
        </is>
      </c>
      <c r="E31" t="n">
        <v>38.8729</v>
      </c>
      <c r="F31" t="n">
        <v>-77.0074</v>
      </c>
      <c r="G31" t="n">
        <v>25</v>
      </c>
      <c r="H31" t="n">
        <v>1.01</v>
      </c>
      <c r="I31" t="inlineStr">
        <is>
          <t>Open Air</t>
        </is>
      </c>
      <c r="J31" t="inlineStr">
        <is>
          <t>static/logos/WSH.svg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league_runs_per_team</t>
        </is>
      </c>
      <c r="B2" s="2" t="n">
        <v>4.45</v>
      </c>
      <c r="C2" t="inlineStr">
        <is>
          <t>Starting baseline</t>
        </is>
      </c>
    </row>
    <row r="3">
      <c r="A3" t="inlineStr">
        <is>
          <t>weather_temp_per_10f</t>
        </is>
      </c>
      <c r="B3" s="2" t="n">
        <v>0.025</v>
      </c>
      <c r="C3" t="inlineStr">
        <is>
          <t>Run multiplier increase per 10F above 70</t>
        </is>
      </c>
    </row>
    <row r="4">
      <c r="A4" t="inlineStr">
        <is>
          <t>wind_out_per_10mph</t>
        </is>
      </c>
      <c r="B4" s="2" t="n">
        <v>0.045</v>
      </c>
      <c r="C4" t="inlineStr">
        <is>
          <t>Extra carry if wind blows out</t>
        </is>
      </c>
    </row>
    <row r="5">
      <c r="A5" t="inlineStr">
        <is>
          <t>wind_in_per_10mph</t>
        </is>
      </c>
      <c r="B5" s="2" t="n">
        <v>-0.04</v>
      </c>
      <c r="C5" t="inlineStr">
        <is>
          <t>Suppression if wind blows in</t>
        </is>
      </c>
    </row>
    <row r="6">
      <c r="A6" t="inlineStr">
        <is>
          <t>humidity_per_10pct</t>
        </is>
      </c>
      <c r="B6" s="2" t="n">
        <v>0.005</v>
      </c>
      <c r="C6" t="inlineStr">
        <is>
          <t>Small positive if humid</t>
        </is>
      </c>
    </row>
    <row r="7">
      <c r="A7" t="inlineStr">
        <is>
          <t>precip_penalty</t>
        </is>
      </c>
      <c r="B7" s="2" t="n">
        <v>-0.03</v>
      </c>
      <c r="C7" t="inlineStr">
        <is>
          <t>Rain/delay risk</t>
        </is>
      </c>
    </row>
    <row r="8">
      <c r="A8" t="inlineStr">
        <is>
          <t>altitude_per_1000ft</t>
        </is>
      </c>
      <c r="B8" s="2" t="n">
        <v>0.03</v>
      </c>
      <c r="C8" t="inlineStr">
        <is>
          <t>Reduced density / more carry</t>
        </is>
      </c>
    </row>
    <row r="9">
      <c r="A9" t="inlineStr">
        <is>
          <t>park_factor_weight</t>
        </is>
      </c>
      <c r="B9" s="2" t="n">
        <v>1</v>
      </c>
      <c r="C9" t="inlineStr">
        <is>
          <t>Direct multiplier</t>
        </is>
      </c>
    </row>
    <row r="10">
      <c r="A10" t="inlineStr">
        <is>
          <t>pitcher_era_weight</t>
        </is>
      </c>
      <c r="B10" s="2" t="n">
        <v>0.06</v>
      </c>
      <c r="C10" t="inlineStr">
        <is>
          <t>ERA vs league average impact</t>
        </is>
      </c>
    </row>
    <row r="11">
      <c r="A11" t="inlineStr">
        <is>
          <t>pitcher_whip_weight</t>
        </is>
      </c>
      <c r="B11" s="2" t="n">
        <v>0.08</v>
      </c>
      <c r="C11" t="inlineStr">
        <is>
          <t>WHIP vs league average impact</t>
        </is>
      </c>
    </row>
    <row r="12">
      <c r="A12" t="inlineStr">
        <is>
          <t>offense_rpg_weight</t>
        </is>
      </c>
      <c r="B12" s="2" t="n">
        <v>0.7</v>
      </c>
      <c r="C12" t="inlineStr">
        <is>
          <t>Blend with league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D1" s="1" t="inlineStr">
        <is>
          <t>Projected runs formula</t>
        </is>
      </c>
    </row>
    <row r="2">
      <c r="A2" t="inlineStr">
        <is>
          <t>Team Baseline RPG</t>
        </is>
      </c>
      <c r="B2" s="3" t="n">
        <v>4.6</v>
      </c>
      <c r="D2" s="4" t="inlineStr">
        <is>
          <t>League Avg Runs</t>
        </is>
      </c>
      <c r="E2">
        <f>XLOOKUP("league_runs_per_team",ModelWeights!A:A,ModelWeights!B:B)</f>
        <v/>
      </c>
    </row>
    <row r="3">
      <c r="A3" t="inlineStr">
        <is>
          <t>Opponent Pitcher ERA</t>
        </is>
      </c>
      <c r="B3" s="3" t="n">
        <v>4.05</v>
      </c>
      <c r="D3" s="4" t="inlineStr">
        <is>
          <t>Offense Blend</t>
        </is>
      </c>
      <c r="E3">
        <f>$B$2*XLOOKUP("offense_rpg_weight",ModelWeights!A:A,ModelWeights!B:B)+$E$2*(1-XLOOKUP("offense_rpg_weight",ModelWeights!A:A,ModelWeights!B:B))</f>
        <v/>
      </c>
    </row>
    <row r="4">
      <c r="A4" t="inlineStr">
        <is>
          <t>Opponent Pitcher WHIP</t>
        </is>
      </c>
      <c r="B4" s="3" t="n">
        <v>1.25</v>
      </c>
      <c r="D4" s="4" t="inlineStr">
        <is>
          <t>Pitcher Factor</t>
        </is>
      </c>
      <c r="E4">
        <f>1+(($B$3-4.00)*XLOOKUP("pitcher_era_weight",ModelWeights!A:A,ModelWeights!B:B))+((($B$4-1.25))*XLOOKUP("pitcher_whip_weight",ModelWeights!A:A,ModelWeights!B:B))</f>
        <v/>
      </c>
    </row>
    <row r="5">
      <c r="A5" t="inlineStr">
        <is>
          <t>Park Factor</t>
        </is>
      </c>
      <c r="B5" s="3" t="n">
        <v>1.02</v>
      </c>
      <c r="D5" s="4" t="inlineStr">
        <is>
          <t>Weather Factor</t>
        </is>
      </c>
      <c r="E5">
        <f>1+(($B$6-70)/10)*XLOOKUP("weather_temp_per_10f",ModelWeights!A:A,ModelWeights!B:B)+(($B$7-50)/10)*XLOOKUP("humidity_per_10pct",ModelWeights!A:A,ModelWeights!B:B)+($B$8/10)*$B$9*IF($B$9&gt;=0,XLOOKUP("wind_out_per_10mph",ModelWeights!A:A,ModelWeights!B:B),ABS(XLOOKUP("wind_in_per_10mph",ModelWeights!A:A,ModelWeights!B:B))*(-1))+($B$10/100)*XLOOKUP("precip_penalty",ModelWeights!A:A,ModelWeights!B:B)+($B$11/1000)*XLOOKUP("altitude_per_1000ft",ModelWeights!A:A,ModelWeights!B:B)</f>
        <v/>
      </c>
    </row>
    <row r="6">
      <c r="A6" t="inlineStr">
        <is>
          <t>Temp F</t>
        </is>
      </c>
      <c r="B6" s="3" t="n">
        <v>78</v>
      </c>
      <c r="D6" s="4" t="inlineStr">
        <is>
          <t>Projected Runs</t>
        </is>
      </c>
      <c r="E6" s="5">
        <f>E3*E4*$B$5*E5</f>
        <v/>
      </c>
    </row>
    <row r="7">
      <c r="A7" t="inlineStr">
        <is>
          <t>Humidity %</t>
        </is>
      </c>
      <c r="B7" s="3" t="n">
        <v>58</v>
      </c>
    </row>
    <row r="8">
      <c r="A8" t="inlineStr">
        <is>
          <t>Wind MPH</t>
        </is>
      </c>
      <c r="B8" s="3" t="n">
        <v>9</v>
      </c>
    </row>
    <row r="9">
      <c r="A9" t="inlineStr">
        <is>
          <t>Wind Direction Multiplier</t>
        </is>
      </c>
      <c r="B9" s="3" t="n">
        <v>1</v>
      </c>
    </row>
    <row r="10">
      <c r="A10" t="inlineStr">
        <is>
          <t>Precip Probability %</t>
        </is>
      </c>
      <c r="B10" s="3" t="n">
        <v>20</v>
      </c>
    </row>
    <row r="11">
      <c r="A11" t="inlineStr">
        <is>
          <t>Altitude ft</t>
        </is>
      </c>
      <c r="B11" s="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2026-04-12T12:11:06Z</dcterms:created>
  <dcterms:modified xmlns:dcterms="http://purl.org/dc/terms/" xmlns:xsi="http://www.w3.org/2001/XMLSchema-instance" xsi:type="dcterms:W3CDTF">2026-04-12T12:11:06Z</dcterms:modified>
</cp:coreProperties>
</file>